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insleylotito/Library/CloudStorage/Dropbox-InsightExposure/Ainsley Lotito/Meta-Analysis/Rproj/"/>
    </mc:Choice>
  </mc:AlternateContent>
  <xr:revisionPtr revIDLastSave="0" documentId="13_ncr:1_{98B63781-CCAE-0A49-92DE-E3B8A27406AC}" xr6:coauthVersionLast="47" xr6:coauthVersionMax="47" xr10:uidLastSave="{00000000-0000-0000-0000-000000000000}"/>
  <bookViews>
    <workbookView xWindow="1640" yWindow="2500" windowWidth="27640" windowHeight="15140" xr2:uid="{4AE84EFA-2284-6A4F-B200-A8FD21DAB342}"/>
  </bookViews>
  <sheets>
    <sheet name="Stomach_Cancers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11" i="2" l="1"/>
  <c r="G11" i="2"/>
  <c r="J9" i="2"/>
  <c r="G9" i="2"/>
  <c r="J8" i="2"/>
  <c r="G8" i="2"/>
  <c r="I7" i="2"/>
  <c r="J7" i="2" s="1"/>
  <c r="H7" i="2"/>
  <c r="G7" i="2"/>
  <c r="F7" i="2"/>
  <c r="I6" i="2"/>
  <c r="J6" i="2" s="1"/>
  <c r="H6" i="2"/>
  <c r="F6" i="2"/>
  <c r="G6" i="2" s="1"/>
  <c r="J5" i="2"/>
  <c r="G5" i="2"/>
  <c r="J4" i="2"/>
  <c r="G4" i="2"/>
  <c r="J3" i="2"/>
  <c r="G3" i="2"/>
  <c r="J2" i="2"/>
  <c r="G2" i="2"/>
  <c r="H7" i="1"/>
  <c r="G7" i="1"/>
  <c r="F7" i="1"/>
  <c r="H6" i="1"/>
  <c r="G6" i="1"/>
  <c r="F6" i="1"/>
</calcChain>
</file>

<file path=xl/sharedStrings.xml><?xml version="1.0" encoding="utf-8"?>
<sst xmlns="http://schemas.openxmlformats.org/spreadsheetml/2006/main" count="72" uniqueCount="28">
  <si>
    <t>Study</t>
  </si>
  <si>
    <t>Observed</t>
  </si>
  <si>
    <t>Expected</t>
  </si>
  <si>
    <t>EE</t>
  </si>
  <si>
    <t>Negri et al.
(1989)</t>
  </si>
  <si>
    <t>italy</t>
  </si>
  <si>
    <t>industrial</t>
  </si>
  <si>
    <t>Bulbulyan et al. 
(1999)</t>
  </si>
  <si>
    <t>russia</t>
  </si>
  <si>
    <t>Chang et al.
(2019)</t>
  </si>
  <si>
    <t>german</t>
  </si>
  <si>
    <t>Straif et al. 
(2000)</t>
  </si>
  <si>
    <t>-</t>
  </si>
  <si>
    <t>Fordyce et al. 
(2019)</t>
  </si>
  <si>
    <t>vermont</t>
  </si>
  <si>
    <t>cosmetic</t>
  </si>
  <si>
    <t>Honda et al.
(2002)</t>
  </si>
  <si>
    <t>NY</t>
  </si>
  <si>
    <t>Wergeland et al.
(2017)</t>
  </si>
  <si>
    <t>norway</t>
  </si>
  <si>
    <t>Ciocan et al. 
(2022)</t>
  </si>
  <si>
    <t>Zhang et al. 
(1989)</t>
  </si>
  <si>
    <t>Location</t>
  </si>
  <si>
    <t>Talc_Type</t>
  </si>
  <si>
    <t>Log_EE</t>
  </si>
  <si>
    <t>Lower_Bound</t>
  </si>
  <si>
    <t>Upper_Bound</t>
  </si>
  <si>
    <t>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</si>
</sst>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color theme="1"/>
      <name val="Aptos"/>
      <family val="2"/>
    </font>
    <font>
      <sz val="11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/>
    <xf numFmtId="0" fontId="2" fillId="0" borderId="1" xfId="0" quotePrefix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80EA9-C573-044A-8FEC-AA23A48BE0C0}">
  <dimension ref="A1:I11"/>
  <sheetViews>
    <sheetView tabSelected="1" workbookViewId="0">
      <selection activeCell="J5" sqref="J5"/>
    </sheetView>
  </sheetViews>
  <sheetFormatPr baseColWidth="10" defaultRowHeight="16" x14ac:dyDescent="0.2"/>
  <sheetData>
    <row r="1" spans="1:9" ht="32" x14ac:dyDescent="0.2">
      <c r="A1" s="1" t="s">
        <v>0</v>
      </c>
      <c r="B1" s="1" t="s">
        <v>22</v>
      </c>
      <c r="C1" s="1" t="s">
        <v>23</v>
      </c>
      <c r="D1" s="1" t="s">
        <v>1</v>
      </c>
      <c r="E1" s="1" t="s">
        <v>2</v>
      </c>
      <c r="F1" s="1" t="s">
        <v>3</v>
      </c>
      <c r="G1" s="2" t="s">
        <v>25</v>
      </c>
      <c r="H1" s="2" t="s">
        <v>26</v>
      </c>
      <c r="I1" s="1"/>
    </row>
    <row r="2" spans="1:9" ht="32" x14ac:dyDescent="0.2">
      <c r="A2" s="3" t="s">
        <v>4</v>
      </c>
      <c r="B2" s="3" t="s">
        <v>5</v>
      </c>
      <c r="C2" s="3" t="s">
        <v>6</v>
      </c>
      <c r="D2" s="4">
        <v>35</v>
      </c>
      <c r="E2" s="4">
        <v>45.08</v>
      </c>
      <c r="F2" s="4">
        <v>0.78</v>
      </c>
      <c r="G2" s="4">
        <v>0.54</v>
      </c>
      <c r="H2" s="4">
        <v>1.08</v>
      </c>
      <c r="I2" s="4"/>
    </row>
    <row r="3" spans="1:9" ht="48" x14ac:dyDescent="0.2">
      <c r="A3" s="3" t="s">
        <v>7</v>
      </c>
      <c r="B3" s="3" t="s">
        <v>8</v>
      </c>
      <c r="C3" s="3" t="s">
        <v>6</v>
      </c>
      <c r="D3" s="4">
        <v>29</v>
      </c>
      <c r="E3" s="4">
        <v>31.3</v>
      </c>
      <c r="F3" s="4">
        <v>0.9</v>
      </c>
      <c r="G3" s="4">
        <v>0.6</v>
      </c>
      <c r="H3" s="4">
        <v>1.3</v>
      </c>
      <c r="I3" s="4"/>
    </row>
    <row r="4" spans="1:9" ht="32" x14ac:dyDescent="0.2">
      <c r="A4" s="5" t="s">
        <v>9</v>
      </c>
      <c r="B4" s="5" t="s">
        <v>10</v>
      </c>
      <c r="C4" s="5" t="s">
        <v>6</v>
      </c>
      <c r="D4" s="6">
        <v>45</v>
      </c>
      <c r="E4" s="6">
        <v>1804</v>
      </c>
      <c r="F4" s="6">
        <v>2.13</v>
      </c>
      <c r="G4" s="4">
        <v>1.54</v>
      </c>
      <c r="H4" s="4">
        <v>2.94</v>
      </c>
      <c r="I4" s="4"/>
    </row>
    <row r="5" spans="1:9" ht="32" x14ac:dyDescent="0.2">
      <c r="A5" s="3" t="s">
        <v>11</v>
      </c>
      <c r="B5" s="3" t="s">
        <v>10</v>
      </c>
      <c r="C5" s="3" t="s">
        <v>6</v>
      </c>
      <c r="D5" s="4">
        <v>44</v>
      </c>
      <c r="E5" s="7" t="s">
        <v>12</v>
      </c>
      <c r="F5" s="4">
        <v>1.17</v>
      </c>
      <c r="G5" s="4">
        <v>85</v>
      </c>
      <c r="H5" s="4">
        <v>157</v>
      </c>
      <c r="I5" s="4"/>
    </row>
    <row r="6" spans="1:9" ht="48" x14ac:dyDescent="0.2">
      <c r="A6" s="3" t="s">
        <v>13</v>
      </c>
      <c r="B6" s="3" t="s">
        <v>14</v>
      </c>
      <c r="C6" s="3" t="s">
        <v>15</v>
      </c>
      <c r="D6" s="4">
        <v>2</v>
      </c>
      <c r="E6" s="7" t="s">
        <v>12</v>
      </c>
      <c r="F6" s="4">
        <f>74.9/100</f>
        <v>0.74900000000000011</v>
      </c>
      <c r="G6" s="4">
        <f>9.1/100</f>
        <v>9.0999999999999998E-2</v>
      </c>
      <c r="H6" s="4">
        <f>270.5/100</f>
        <v>2.7050000000000001</v>
      </c>
      <c r="I6" s="4"/>
    </row>
    <row r="7" spans="1:9" ht="32" x14ac:dyDescent="0.2">
      <c r="A7" s="3" t="s">
        <v>16</v>
      </c>
      <c r="B7" s="3" t="s">
        <v>17</v>
      </c>
      <c r="C7" s="3" t="s">
        <v>6</v>
      </c>
      <c r="D7" s="4">
        <v>2</v>
      </c>
      <c r="E7" s="4">
        <v>1.4</v>
      </c>
      <c r="F7" s="4">
        <f>144/100</f>
        <v>1.44</v>
      </c>
      <c r="G7" s="4">
        <f>17/100</f>
        <v>0.17</v>
      </c>
      <c r="H7" s="4">
        <f>520/100</f>
        <v>5.2</v>
      </c>
      <c r="I7" s="4"/>
    </row>
    <row r="8" spans="1:9" ht="48" x14ac:dyDescent="0.2">
      <c r="A8" s="3" t="s">
        <v>18</v>
      </c>
      <c r="B8" s="3" t="s">
        <v>19</v>
      </c>
      <c r="C8" s="3" t="s">
        <v>15</v>
      </c>
      <c r="D8" s="4">
        <v>10</v>
      </c>
      <c r="E8" s="4">
        <v>8.1999999999999993</v>
      </c>
      <c r="F8" s="4">
        <v>1.22</v>
      </c>
      <c r="G8" s="4">
        <v>0.59</v>
      </c>
      <c r="H8" s="4">
        <v>2.25</v>
      </c>
      <c r="I8" s="4"/>
    </row>
    <row r="9" spans="1:9" ht="48" x14ac:dyDescent="0.2">
      <c r="A9" s="3" t="s">
        <v>20</v>
      </c>
      <c r="B9" s="3" t="s">
        <v>5</v>
      </c>
      <c r="C9" s="3" t="s">
        <v>15</v>
      </c>
      <c r="D9" s="4">
        <v>37</v>
      </c>
      <c r="E9" s="4">
        <v>32</v>
      </c>
      <c r="F9" s="4">
        <v>1.1499999999999999</v>
      </c>
      <c r="G9" s="4">
        <v>0.81</v>
      </c>
      <c r="H9" s="4">
        <v>1.59</v>
      </c>
      <c r="I9" s="4"/>
    </row>
    <row r="11" spans="1:9" ht="32" x14ac:dyDescent="0.2">
      <c r="A11" s="3" t="s">
        <v>21</v>
      </c>
      <c r="B11" s="3"/>
      <c r="C11" s="3"/>
      <c r="D11" s="4">
        <v>12</v>
      </c>
      <c r="E11" s="4">
        <v>11.1</v>
      </c>
      <c r="F11" s="4">
        <v>1.0900000000000001</v>
      </c>
      <c r="G11" s="4">
        <v>0.58579999999999999</v>
      </c>
      <c r="H11" s="4">
        <v>1.8380000000000001</v>
      </c>
      <c r="I11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C802E-1DA7-504D-9834-8F801DD7872E}">
  <dimension ref="A1:J11"/>
  <sheetViews>
    <sheetView workbookViewId="0">
      <selection activeCell="C15" sqref="C15"/>
    </sheetView>
  </sheetViews>
  <sheetFormatPr baseColWidth="10" defaultRowHeight="16" x14ac:dyDescent="0.2"/>
  <sheetData>
    <row r="1" spans="1:10" ht="32" x14ac:dyDescent="0.2">
      <c r="A1" s="1" t="s">
        <v>0</v>
      </c>
      <c r="B1" s="1" t="s">
        <v>22</v>
      </c>
      <c r="C1" s="1" t="s">
        <v>23</v>
      </c>
      <c r="D1" s="1" t="s">
        <v>1</v>
      </c>
      <c r="E1" s="1" t="s">
        <v>2</v>
      </c>
      <c r="F1" s="1" t="s">
        <v>3</v>
      </c>
      <c r="G1" s="1" t="s">
        <v>24</v>
      </c>
      <c r="H1" s="2" t="s">
        <v>25</v>
      </c>
      <c r="I1" s="2" t="s">
        <v>26</v>
      </c>
      <c r="J1" s="1" t="s">
        <v>27</v>
      </c>
    </row>
    <row r="2" spans="1:10" ht="32" x14ac:dyDescent="0.2">
      <c r="A2" s="3" t="s">
        <v>4</v>
      </c>
      <c r="B2" s="3" t="s">
        <v>5</v>
      </c>
      <c r="C2" s="3" t="s">
        <v>6</v>
      </c>
      <c r="D2" s="4">
        <v>35</v>
      </c>
      <c r="E2" s="4">
        <v>45.08</v>
      </c>
      <c r="F2" s="4">
        <v>0.78</v>
      </c>
      <c r="G2" s="4">
        <f t="shared" ref="G2:G9" si="0">LOG(F2)</f>
        <v>-0.10790539730951958</v>
      </c>
      <c r="H2" s="4">
        <v>0.54</v>
      </c>
      <c r="I2" s="4">
        <v>1.08</v>
      </c>
      <c r="J2" s="4">
        <f t="shared" ref="J2:J9" si="1">(LN(I2) - LN(H2)) / (2 * 1.96)</f>
        <v>0.17682326034692486</v>
      </c>
    </row>
    <row r="3" spans="1:10" ht="48" x14ac:dyDescent="0.2">
      <c r="A3" s="3" t="s">
        <v>7</v>
      </c>
      <c r="B3" s="3" t="s">
        <v>8</v>
      </c>
      <c r="C3" s="3" t="s">
        <v>6</v>
      </c>
      <c r="D3" s="4">
        <v>29</v>
      </c>
      <c r="E3" s="4">
        <v>31.3</v>
      </c>
      <c r="F3" s="4">
        <v>0.9</v>
      </c>
      <c r="G3" s="4">
        <f t="shared" si="0"/>
        <v>-4.5757490560675115E-2</v>
      </c>
      <c r="H3" s="4">
        <v>0.6</v>
      </c>
      <c r="I3" s="4">
        <v>1.3</v>
      </c>
      <c r="J3" s="4">
        <f t="shared" si="1"/>
        <v>0.19724231842690862</v>
      </c>
    </row>
    <row r="4" spans="1:10" ht="32" x14ac:dyDescent="0.2">
      <c r="A4" s="5" t="s">
        <v>9</v>
      </c>
      <c r="B4" s="5" t="s">
        <v>10</v>
      </c>
      <c r="C4" s="5" t="s">
        <v>6</v>
      </c>
      <c r="D4" s="6">
        <v>45</v>
      </c>
      <c r="E4" s="6">
        <v>1804</v>
      </c>
      <c r="F4" s="6">
        <v>2.13</v>
      </c>
      <c r="G4" s="6">
        <f t="shared" si="0"/>
        <v>0.32837960343873768</v>
      </c>
      <c r="H4" s="4">
        <v>1.54</v>
      </c>
      <c r="I4" s="4">
        <v>2.94</v>
      </c>
      <c r="J4" s="4">
        <f t="shared" si="1"/>
        <v>0.16495590941965624</v>
      </c>
    </row>
    <row r="5" spans="1:10" ht="32" x14ac:dyDescent="0.2">
      <c r="A5" s="3" t="s">
        <v>11</v>
      </c>
      <c r="B5" s="3" t="s">
        <v>10</v>
      </c>
      <c r="C5" s="3" t="s">
        <v>6</v>
      </c>
      <c r="D5" s="4">
        <v>44</v>
      </c>
      <c r="E5" s="7" t="s">
        <v>12</v>
      </c>
      <c r="F5" s="4">
        <v>1.17</v>
      </c>
      <c r="G5" s="4">
        <f t="shared" si="0"/>
        <v>6.8185861746161619E-2</v>
      </c>
      <c r="H5" s="4">
        <v>85</v>
      </c>
      <c r="I5" s="4">
        <v>157</v>
      </c>
      <c r="J5" s="4">
        <f t="shared" si="1"/>
        <v>0.1565292216474467</v>
      </c>
    </row>
    <row r="6" spans="1:10" ht="48" x14ac:dyDescent="0.2">
      <c r="A6" s="3" t="s">
        <v>13</v>
      </c>
      <c r="B6" s="3" t="s">
        <v>14</v>
      </c>
      <c r="C6" s="3" t="s">
        <v>15</v>
      </c>
      <c r="D6" s="4">
        <v>2</v>
      </c>
      <c r="E6" s="7" t="s">
        <v>12</v>
      </c>
      <c r="F6" s="4">
        <f>74.9/100</f>
        <v>0.74900000000000011</v>
      </c>
      <c r="G6" s="4">
        <f t="shared" si="0"/>
        <v>-0.12551818230053347</v>
      </c>
      <c r="H6" s="4">
        <f>9.1/100</f>
        <v>9.0999999999999998E-2</v>
      </c>
      <c r="I6" s="4">
        <f>270.5/100</f>
        <v>2.7050000000000001</v>
      </c>
      <c r="J6" s="4">
        <f t="shared" si="1"/>
        <v>0.8653055318274826</v>
      </c>
    </row>
    <row r="7" spans="1:10" ht="32" x14ac:dyDescent="0.2">
      <c r="A7" s="3" t="s">
        <v>16</v>
      </c>
      <c r="B7" s="3" t="s">
        <v>17</v>
      </c>
      <c r="C7" s="3" t="s">
        <v>6</v>
      </c>
      <c r="D7" s="4">
        <v>2</v>
      </c>
      <c r="E7" s="4">
        <v>1.4</v>
      </c>
      <c r="F7" s="4">
        <f>144/100</f>
        <v>1.44</v>
      </c>
      <c r="G7" s="4">
        <f t="shared" si="0"/>
        <v>0.15836249209524964</v>
      </c>
      <c r="H7" s="4">
        <f>17/100</f>
        <v>0.17</v>
      </c>
      <c r="I7" s="4">
        <f>520/100</f>
        <v>5.2</v>
      </c>
      <c r="J7" s="4">
        <f t="shared" si="1"/>
        <v>0.87260598661205535</v>
      </c>
    </row>
    <row r="8" spans="1:10" ht="48" x14ac:dyDescent="0.2">
      <c r="A8" s="3" t="s">
        <v>18</v>
      </c>
      <c r="B8" s="3" t="s">
        <v>19</v>
      </c>
      <c r="C8" s="3" t="s">
        <v>15</v>
      </c>
      <c r="D8" s="4">
        <v>10</v>
      </c>
      <c r="E8" s="4">
        <v>8.1999999999999993</v>
      </c>
      <c r="F8" s="4">
        <v>1.22</v>
      </c>
      <c r="G8" s="4">
        <f t="shared" si="0"/>
        <v>8.6359830674748214E-2</v>
      </c>
      <c r="H8" s="4">
        <v>0.59</v>
      </c>
      <c r="I8" s="4">
        <v>2.25</v>
      </c>
      <c r="J8" s="4">
        <f t="shared" si="1"/>
        <v>0.341470142423138</v>
      </c>
    </row>
    <row r="9" spans="1:10" ht="48" x14ac:dyDescent="0.2">
      <c r="A9" s="3" t="s">
        <v>20</v>
      </c>
      <c r="B9" s="3" t="s">
        <v>5</v>
      </c>
      <c r="C9" s="3" t="s">
        <v>15</v>
      </c>
      <c r="D9" s="4">
        <v>37</v>
      </c>
      <c r="E9" s="4">
        <v>32</v>
      </c>
      <c r="F9" s="4">
        <v>1.1499999999999999</v>
      </c>
      <c r="G9" s="4">
        <f t="shared" si="0"/>
        <v>6.069784035361165E-2</v>
      </c>
      <c r="H9" s="4">
        <v>0.81</v>
      </c>
      <c r="I9" s="4">
        <v>1.59</v>
      </c>
      <c r="J9" s="4">
        <f t="shared" si="1"/>
        <v>0.17205485906831447</v>
      </c>
    </row>
    <row r="11" spans="1:10" ht="32" x14ac:dyDescent="0.2">
      <c r="A11" s="3" t="s">
        <v>21</v>
      </c>
      <c r="B11" s="3"/>
      <c r="C11" s="3"/>
      <c r="D11" s="4">
        <v>12</v>
      </c>
      <c r="E11" s="4">
        <v>11.1</v>
      </c>
      <c r="F11" s="4">
        <v>1.0900000000000001</v>
      </c>
      <c r="G11" s="4">
        <f>LOG(F11)</f>
        <v>3.7426497940623665E-2</v>
      </c>
      <c r="H11" s="4">
        <v>0.58579999999999999</v>
      </c>
      <c r="I11" s="4">
        <v>1.8380000000000001</v>
      </c>
      <c r="J11" s="4">
        <f>(LN(I11) - LN(H11)) / (2 * 1.96)</f>
        <v>0.29169767054132639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Stomach_Cancers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Ainsley Lotito</dc:creator>
  <cp:lastModifiedBy>Ainsley Lotito</cp:lastModifiedBy>
  <dcterms:created xsi:type="dcterms:W3CDTF">2026-08-18T18:27:31Z</dcterms:created>
  <dcterms:modified xsi:type="dcterms:W3CDTF">2026-08-18T18:49:37Z</dcterms:modified>
</cp:coreProperties>
</file>